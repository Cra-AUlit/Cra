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A2667AE5-264E-442C-BFAC-21CC40C51D4E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Technici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1" l="1"/>
  <c r="G38" i="1"/>
  <c r="G37" i="1"/>
  <c r="F37" i="1"/>
  <c r="E37" i="1"/>
  <c r="D37" i="1"/>
  <c r="C37" i="1"/>
  <c r="B37" i="1"/>
  <c r="Q16" i="1"/>
  <c r="P16" i="1"/>
  <c r="O16" i="1"/>
  <c r="N16" i="1"/>
  <c r="Q15" i="1"/>
  <c r="P15" i="1"/>
  <c r="O15" i="1"/>
  <c r="N15" i="1"/>
  <c r="Q14" i="1"/>
  <c r="P14" i="1"/>
  <c r="O14" i="1"/>
  <c r="N14" i="1"/>
  <c r="Q13" i="1"/>
  <c r="P13" i="1"/>
  <c r="O13" i="1"/>
  <c r="N13" i="1"/>
  <c r="Q12" i="1"/>
  <c r="P12" i="1"/>
  <c r="O12" i="1"/>
  <c r="N12" i="1"/>
  <c r="Q11" i="1"/>
  <c r="P11" i="1"/>
  <c r="O11" i="1"/>
  <c r="N11" i="1"/>
  <c r="Q10" i="1"/>
  <c r="P10" i="1"/>
  <c r="O10" i="1"/>
  <c r="N10" i="1"/>
  <c r="Q9" i="1"/>
  <c r="P9" i="1"/>
  <c r="O9" i="1"/>
  <c r="N9" i="1"/>
  <c r="Q8" i="1"/>
  <c r="P8" i="1"/>
  <c r="O8" i="1"/>
  <c r="N8" i="1"/>
  <c r="Q7" i="1"/>
  <c r="P7" i="1"/>
  <c r="O7" i="1"/>
  <c r="N7" i="1"/>
  <c r="Q6" i="1"/>
  <c r="P6" i="1"/>
  <c r="O6" i="1"/>
  <c r="N6" i="1"/>
  <c r="A6" i="1"/>
  <c r="A7" i="1" s="1"/>
  <c r="L6" i="1" l="1"/>
  <c r="A8" i="1"/>
  <c r="M7" i="1"/>
  <c r="M6" i="1"/>
  <c r="M8" i="1" l="1"/>
  <c r="A9" i="1"/>
  <c r="M9" i="1" l="1"/>
  <c r="A10" i="1"/>
  <c r="M10" i="1" l="1"/>
  <c r="A11" i="1"/>
  <c r="A12" i="1" l="1"/>
  <c r="M11" i="1"/>
  <c r="M12" i="1" l="1"/>
  <c r="A13" i="1"/>
  <c r="A14" i="1" l="1"/>
  <c r="M13" i="1"/>
  <c r="A15" i="1" l="1"/>
  <c r="M14" i="1"/>
  <c r="A16" i="1" l="1"/>
  <c r="M15" i="1"/>
  <c r="M16" i="1" l="1"/>
  <c r="A17" i="1"/>
  <c r="M17" i="1" l="1"/>
  <c r="A18" i="1"/>
  <c r="M18" i="1" l="1"/>
  <c r="A19" i="1"/>
  <c r="M19" i="1" l="1"/>
  <c r="A20" i="1"/>
  <c r="M20" i="1" l="1"/>
  <c r="A21" i="1"/>
  <c r="A22" i="1" l="1"/>
  <c r="M21" i="1"/>
  <c r="A23" i="1" l="1"/>
  <c r="M22" i="1"/>
  <c r="A24" i="1" l="1"/>
  <c r="M23" i="1"/>
  <c r="M24" i="1" l="1"/>
  <c r="A25" i="1"/>
  <c r="A26" i="1" l="1"/>
  <c r="M25" i="1"/>
  <c r="A27" i="1" l="1"/>
  <c r="M26" i="1"/>
  <c r="A28" i="1" l="1"/>
  <c r="M27" i="1"/>
  <c r="A29" i="1" l="1"/>
  <c r="M28" i="1"/>
  <c r="A30" i="1" l="1"/>
  <c r="M29" i="1"/>
  <c r="A31" i="1" l="1"/>
  <c r="M30" i="1"/>
  <c r="A32" i="1" l="1"/>
  <c r="M31" i="1"/>
  <c r="A36" i="1" l="1"/>
  <c r="M36" i="1" s="1"/>
  <c r="A35" i="1"/>
  <c r="M35" i="1" s="1"/>
  <c r="A34" i="1"/>
  <c r="M34" i="1" s="1"/>
  <c r="A33" i="1"/>
  <c r="M33" i="1" s="1"/>
  <c r="M3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00000000-0006-0000-0000-000001000000}">
      <text>
        <r>
          <rPr>
            <sz val="11"/>
            <rFont val="Calibri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Mettre 1 ou 0.5 (demi-journée) si travaillé / ne rien mettre si non travaillé</t>
        </r>
      </text>
    </comment>
    <comment ref="C4" authorId="0" shapeId="0" xr:uid="{00000000-0006-0000-0000-000002000000}">
      <text>
        <r>
          <rPr>
            <sz val="11"/>
            <rFont val="Calibri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Si absence, mettre 1 ou 0.5 dans la colonne et ligne concernées</t>
        </r>
      </text>
    </comment>
    <comment ref="G4" authorId="0" shapeId="0" xr:uid="{00000000-0006-0000-0000-000003000000}">
      <text>
        <r>
          <rPr>
            <sz val="11"/>
            <rFont val="Calibri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Nombre d'heures supplémentaires cumulées ou HNO à mettre dans la tranche horaire concernée</t>
        </r>
      </text>
    </comment>
    <comment ref="I4" authorId="0" shapeId="0" xr:uid="{00000000-0006-0000-0000-000004000000}">
      <text>
        <r>
          <rPr>
            <sz val="11"/>
            <rFont val="Calibri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Indiquer les horaires en cas d'heure supp ou tout autre complément nécessaire pour l'établissement de la paie</t>
        </r>
      </text>
    </comment>
    <comment ref="C5" authorId="0" shapeId="0" xr:uid="{00000000-0006-0000-0000-000005000000}">
      <text>
        <r>
          <rPr>
            <sz val="11"/>
            <rFont val="Calibri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Si congé payé, mettre 1 ou 0.5 (demi-journée) dans la ligne concernée</t>
        </r>
      </text>
    </comment>
    <comment ref="D5" authorId="0" shapeId="0" xr:uid="{00000000-0006-0000-0000-000006000000}">
      <text>
        <r>
          <rPr>
            <sz val="11"/>
            <rFont val="Calibri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Si arrêt maladie, mettre 1 dans la ligne concernée</t>
        </r>
      </text>
    </comment>
    <comment ref="E5" authorId="0" shapeId="0" xr:uid="{00000000-0006-0000-0000-000007000000}">
      <text>
        <r>
          <rPr>
            <sz val="11"/>
            <rFont val="Calibri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Si congé exceptionnel validé par izencia (mariage, naissance, décès, ...), mettre 1 ou 0.5 dans la ligne concernée</t>
        </r>
      </text>
    </comment>
    <comment ref="F5" authorId="0" shapeId="0" xr:uid="{00000000-0006-0000-0000-000008000000}">
      <text>
        <r>
          <rPr>
            <sz val="11"/>
            <rFont val="Calibri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Si congé sans solde, mettre 1 ou 0.5 (demi-journée) dans la ligne concernée</t>
        </r>
      </text>
    </comment>
    <comment ref="G5" authorId="0" shapeId="0" xr:uid="{00000000-0006-0000-0000-000009000000}">
      <text>
        <r>
          <rPr>
            <sz val="11"/>
            <rFont val="Calibri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Heures supp réalisées entre 6h et 22h</t>
        </r>
      </text>
    </comment>
    <comment ref="H5" authorId="0" shapeId="0" xr:uid="{00000000-0006-0000-0000-00000A000000}">
      <text>
        <r>
          <rPr>
            <sz val="11"/>
            <rFont val="Calibri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Heures supp réalisées entre 22h et 6</t>
        </r>
      </text>
    </comment>
  </commentList>
</comments>
</file>

<file path=xl/sharedStrings.xml><?xml version="1.0" encoding="utf-8"?>
<sst xmlns="http://schemas.openxmlformats.org/spreadsheetml/2006/main" count="27" uniqueCount="27">
  <si>
    <t>NOM du TECHNICIEN :</t>
  </si>
  <si>
    <t>NOM du CLIENT :</t>
  </si>
  <si>
    <t/>
  </si>
  <si>
    <t>Mois :</t>
  </si>
  <si>
    <t>Année :</t>
  </si>
  <si>
    <r>
      <rPr>
        <sz val="9"/>
        <rFont val="Argumentum"/>
      </rPr>
      <t xml:space="preserve">* IMPORTANT : Les jours en </t>
    </r>
    <r>
      <rPr>
        <sz val="9"/>
        <color rgb="FF00B0F0"/>
        <rFont val="Argumentum"/>
      </rPr>
      <t>bleu clair</t>
    </r>
    <r>
      <rPr>
        <sz val="9"/>
        <rFont val="Argumentum"/>
      </rPr>
      <t xml:space="preserve"> sont fériés et ne doivent être remplis que si travaillés.</t>
    </r>
  </si>
  <si>
    <t>Date</t>
  </si>
  <si>
    <t>Jour 
travaillé</t>
  </si>
  <si>
    <t>Absences</t>
  </si>
  <si>
    <t>HS</t>
  </si>
  <si>
    <t>Commentaires</t>
  </si>
  <si>
    <t>Congé
payé</t>
  </si>
  <si>
    <t>Maladie</t>
  </si>
  <si>
    <t>Congé
exception-nel</t>
  </si>
  <si>
    <t>Congé 
sans solde</t>
  </si>
  <si>
    <t>6h - 22h
Jour</t>
  </si>
  <si>
    <t>22h - 6h
Nuit</t>
  </si>
  <si>
    <t>Mois (à cacher)</t>
  </si>
  <si>
    <t>Année (à cacher)</t>
  </si>
  <si>
    <t>date de fin de mois (à cacher</t>
  </si>
  <si>
    <t>dimanche 1, samedi 7</t>
  </si>
  <si>
    <t xml:space="preserve"> </t>
  </si>
  <si>
    <t>Total du mois</t>
  </si>
  <si>
    <t>Signature client :</t>
  </si>
  <si>
    <t xml:space="preserve">dont jour </t>
  </si>
  <si>
    <t>dont nuit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</si>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</sst>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dd\ mmm"/>
  </numFmts>
  <fonts count="9">
    <font>
      <sz val="11"/>
      <name val="Calibri"/>
      <scheme val="minor"/>
    </font>
    <font>
      <sz val="10"/>
      <name val="Calibri"/>
    </font>
    <font>
      <sz val="11"/>
      <name val="Calibri"/>
    </font>
    <font>
      <b/>
      <sz val="10"/>
      <name val="Calibri"/>
    </font>
    <font>
      <sz val="10"/>
      <name val="Calibri"/>
    </font>
    <font>
      <b/>
      <sz val="10"/>
      <color rgb="FF01AF92"/>
      <name val="Calibri"/>
    </font>
    <font>
      <sz val="9"/>
      <name val="Argumentum"/>
    </font>
    <font>
      <b/>
      <sz val="10"/>
      <name val="Calibri"/>
    </font>
    <font>
      <sz val="9"/>
      <color rgb="FF00B0F0"/>
      <name val="Argumentum"/>
    </font>
  </fonts>
  <fills count="4">
    <fill>
      <patternFill patternType="none"/>
    </fill>
    <fill>
      <patternFill patternType="gray125"/>
    </fill>
    <fill>
      <patternFill patternType="solid">
        <fgColor rgb="FF01B692"/>
        <bgColor rgb="FF01B692"/>
      </patternFill>
    </fill>
    <fill>
      <patternFill patternType="solid">
        <fgColor rgb="FF1E4E79"/>
        <bgColor rgb="FF1E4E79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1" fillId="2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0" xfId="0" applyFont="1"/>
    <xf numFmtId="0" fontId="1" fillId="0" borderId="0" xfId="0" applyFont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164" fontId="1" fillId="3" borderId="16" xfId="0" applyNumberFormat="1" applyFont="1" applyFill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164" fontId="1" fillId="0" borderId="0" xfId="0" applyNumberFormat="1" applyFont="1"/>
    <xf numFmtId="14" fontId="1" fillId="0" borderId="0" xfId="0" applyNumberFormat="1" applyFont="1"/>
    <xf numFmtId="164" fontId="1" fillId="3" borderId="18" xfId="0" applyNumberFormat="1" applyFont="1" applyFill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164" fontId="1" fillId="3" borderId="19" xfId="0" applyNumberFormat="1" applyFont="1" applyFill="1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10" xfId="0" applyFont="1" applyBorder="1" applyAlignment="1">
      <alignment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27" xfId="0" applyFont="1" applyBorder="1" applyAlignment="1">
      <alignment horizontal="left" vertical="top"/>
    </xf>
    <xf numFmtId="0" fontId="2" fillId="0" borderId="28" xfId="0" applyFont="1" applyBorder="1"/>
    <xf numFmtId="0" fontId="2" fillId="0" borderId="29" xfId="0" applyFont="1" applyBorder="1"/>
    <xf numFmtId="0" fontId="2" fillId="0" borderId="30" xfId="0" applyFont="1" applyBorder="1"/>
    <xf numFmtId="0" fontId="0" fillId="0" borderId="0" xfId="0"/>
    <xf numFmtId="0" fontId="2" fillId="0" borderId="31" xfId="0" applyFont="1" applyBorder="1"/>
    <xf numFmtId="0" fontId="2" fillId="0" borderId="32" xfId="0" applyFont="1" applyBorder="1"/>
    <xf numFmtId="0" fontId="2" fillId="0" borderId="33" xfId="0" applyFont="1" applyBorder="1"/>
    <xf numFmtId="0" fontId="2" fillId="0" borderId="34" xfId="0" applyFont="1" applyBorder="1"/>
    <xf numFmtId="0" fontId="7" fillId="0" borderId="1" xfId="0" applyFont="1" applyBorder="1" applyAlignment="1">
      <alignment horizontal="center" vertical="center"/>
    </xf>
    <xf numFmtId="0" fontId="2" fillId="0" borderId="4" xfId="0" applyFont="1" applyBorder="1"/>
    <xf numFmtId="0" fontId="6" fillId="0" borderId="7" xfId="0" applyFont="1" applyBorder="1" applyAlignment="1">
      <alignment horizontal="center"/>
    </xf>
    <xf numFmtId="0" fontId="2" fillId="0" borderId="7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3" fillId="0" borderId="3" xfId="0" applyFont="1" applyBorder="1" applyAlignment="1">
      <alignment horizontal="center" vertical="center"/>
    </xf>
    <xf numFmtId="0" fontId="2" fillId="0" borderId="3" xfId="0" applyFont="1" applyBorder="1"/>
    <xf numFmtId="0" fontId="3" fillId="0" borderId="3" xfId="0" applyFont="1" applyBorder="1" applyAlignment="1">
      <alignment horizontal="center"/>
    </xf>
    <xf numFmtId="0" fontId="7" fillId="2" borderId="8" xfId="0" applyFont="1" applyFill="1" applyBorder="1" applyAlignment="1">
      <alignment horizontal="center" vertical="center"/>
    </xf>
    <xf numFmtId="0" fontId="2" fillId="0" borderId="12" xfId="0" applyFont="1" applyBorder="1"/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2" fillId="0" borderId="11" xfId="0" applyFont="1" applyBorder="1"/>
    <xf numFmtId="0" fontId="1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73"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00"/>
  <sheetViews>
    <sheetView showGridLine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11" sqref="F11"/>
    </sheetView>
  </sheetViews>
  <sheetFormatPr baseColWidth="10" defaultColWidth="14.42578125" defaultRowHeight="15" customHeight="1"/>
  <cols>
    <col min="1" max="1" width="12.7109375" customWidth="1"/>
    <col min="2" max="2" width="9.28515625" customWidth="1"/>
    <col min="3" max="4" width="8.7109375" customWidth="1"/>
    <col min="5" max="5" width="9" customWidth="1"/>
    <col min="6" max="8" width="8.7109375" customWidth="1"/>
    <col min="9" max="9" width="23.85546875" customWidth="1"/>
    <col min="10" max="10" width="13.28515625" hidden="1" customWidth="1"/>
    <col min="11" max="11" width="14" hidden="1" customWidth="1"/>
    <col min="12" max="12" width="23.85546875" hidden="1" customWidth="1"/>
    <col min="13" max="13" width="18.28515625" hidden="1" customWidth="1"/>
    <col min="14" max="16" width="10.42578125" hidden="1" customWidth="1"/>
    <col min="17" max="17" width="10.5703125" hidden="1" customWidth="1"/>
    <col min="18" max="19" width="11.42578125" hidden="1" customWidth="1"/>
  </cols>
  <sheetData>
    <row r="1" spans="1:19" ht="15.75" customHeight="1">
      <c r="A1" s="42" t="s">
        <v>0</v>
      </c>
      <c r="B1" s="43"/>
      <c r="C1" s="44"/>
      <c r="D1" s="45"/>
      <c r="E1" s="39"/>
      <c r="F1" s="42" t="s">
        <v>1</v>
      </c>
      <c r="G1" s="43"/>
      <c r="H1" s="46"/>
      <c r="I1" s="39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3.5" customHeight="1">
      <c r="A2" s="2" t="s">
        <v>3</v>
      </c>
      <c r="B2" s="3">
        <v>1</v>
      </c>
      <c r="C2" s="2" t="s">
        <v>4</v>
      </c>
      <c r="D2" s="3">
        <v>2026</v>
      </c>
      <c r="E2" s="1"/>
      <c r="F2" s="4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5.75" customHeight="1">
      <c r="A3" s="40" t="s">
        <v>5</v>
      </c>
      <c r="B3" s="41"/>
      <c r="C3" s="41"/>
      <c r="D3" s="41"/>
      <c r="E3" s="41"/>
      <c r="F3" s="41"/>
      <c r="G3" s="41"/>
      <c r="H3" s="41"/>
      <c r="I3" s="4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3.5" customHeight="1">
      <c r="A4" s="47" t="s">
        <v>6</v>
      </c>
      <c r="B4" s="49" t="s">
        <v>7</v>
      </c>
      <c r="C4" s="50" t="s">
        <v>8</v>
      </c>
      <c r="D4" s="51"/>
      <c r="E4" s="51"/>
      <c r="F4" s="52"/>
      <c r="G4" s="50" t="s">
        <v>9</v>
      </c>
      <c r="H4" s="52"/>
      <c r="I4" s="53" t="s">
        <v>10</v>
      </c>
      <c r="J4" s="5"/>
      <c r="K4" s="5"/>
      <c r="L4" s="5"/>
      <c r="M4" s="5"/>
      <c r="N4" s="5"/>
      <c r="O4" s="5"/>
      <c r="P4" s="5"/>
      <c r="Q4" s="5"/>
      <c r="R4" s="5"/>
      <c r="S4" s="5"/>
    </row>
    <row r="5" spans="1:19" ht="37.5" customHeight="1">
      <c r="A5" s="48"/>
      <c r="B5" s="48"/>
      <c r="C5" s="6" t="s">
        <v>11</v>
      </c>
      <c r="D5" s="7" t="s">
        <v>12</v>
      </c>
      <c r="E5" s="8" t="s">
        <v>13</v>
      </c>
      <c r="F5" s="9" t="s">
        <v>14</v>
      </c>
      <c r="G5" s="6" t="s">
        <v>15</v>
      </c>
      <c r="H5" s="9" t="s">
        <v>16</v>
      </c>
      <c r="I5" s="48"/>
      <c r="J5" s="5" t="s">
        <v>17</v>
      </c>
      <c r="K5" s="5" t="s">
        <v>18</v>
      </c>
      <c r="L5" s="5" t="s">
        <v>19</v>
      </c>
      <c r="M5" s="5" t="s">
        <v>20</v>
      </c>
      <c r="N5" s="5">
        <v>2021</v>
      </c>
      <c r="O5" s="5">
        <v>2022</v>
      </c>
      <c r="P5" s="5">
        <v>2023</v>
      </c>
      <c r="Q5" s="5">
        <v>2024</v>
      </c>
      <c r="R5" s="5">
        <v>2025</v>
      </c>
      <c r="S5" s="5">
        <v>2026</v>
      </c>
    </row>
    <row r="6" spans="1:19" ht="13.5" customHeight="1">
      <c r="A6" s="10">
        <f>DATE(D2,B2,1)</f>
        <v>46023</v>
      </c>
      <c r="B6" s="11"/>
      <c r="C6" s="11"/>
      <c r="D6" s="11"/>
      <c r="E6" s="11"/>
      <c r="F6" s="11"/>
      <c r="G6" s="11"/>
      <c r="H6" s="11"/>
      <c r="I6" s="11"/>
      <c r="J6" s="1">
        <v>1</v>
      </c>
      <c r="K6" s="1">
        <v>2021</v>
      </c>
      <c r="L6" s="12">
        <f>EOMONTH(A6,0)</f>
        <v>46053</v>
      </c>
      <c r="M6" s="1">
        <f t="shared" ref="M6:M32" si="0">WEEKDAY(A6)</f>
        <v>5</v>
      </c>
      <c r="N6" s="13">
        <f>DATE(2021,1,1)</f>
        <v>44197</v>
      </c>
      <c r="O6" s="13">
        <f>DATE(2022,1,1)</f>
        <v>44562</v>
      </c>
      <c r="P6" s="13">
        <f>DATE(2023,1,1)</f>
        <v>44927</v>
      </c>
      <c r="Q6" s="13">
        <f>DATE(2024,1,1)</f>
        <v>45292</v>
      </c>
      <c r="R6" s="13">
        <v>45658</v>
      </c>
      <c r="S6" s="13">
        <v>46023</v>
      </c>
    </row>
    <row r="7" spans="1:19" ht="13.5" customHeight="1">
      <c r="A7" s="14">
        <f t="shared" ref="A7:A32" si="1">A6+1</f>
        <v>46024</v>
      </c>
      <c r="B7" s="15"/>
      <c r="C7" s="15"/>
      <c r="D7" s="15"/>
      <c r="E7" s="15"/>
      <c r="F7" s="15"/>
      <c r="G7" s="15"/>
      <c r="H7" s="15"/>
      <c r="I7" s="15"/>
      <c r="J7" s="1">
        <v>2</v>
      </c>
      <c r="K7" s="1">
        <v>2022</v>
      </c>
      <c r="L7" s="1"/>
      <c r="M7" s="1">
        <f t="shared" si="0"/>
        <v>6</v>
      </c>
      <c r="N7" s="13">
        <f>DATE(2021,4,5)</f>
        <v>44291</v>
      </c>
      <c r="O7" s="13">
        <f>DATE(2022,4,18)</f>
        <v>44669</v>
      </c>
      <c r="P7" s="13">
        <f>DATE(2023,4,10)</f>
        <v>45026</v>
      </c>
      <c r="Q7" s="13">
        <f>DATE(2024,4,1)</f>
        <v>45383</v>
      </c>
      <c r="R7" s="13">
        <v>45768</v>
      </c>
      <c r="S7" s="13">
        <v>46118</v>
      </c>
    </row>
    <row r="8" spans="1:19" ht="13.5" customHeight="1">
      <c r="A8" s="14">
        <f t="shared" si="1"/>
        <v>46025</v>
      </c>
      <c r="B8" s="15"/>
      <c r="C8" s="15"/>
      <c r="D8" s="15"/>
      <c r="E8" s="15"/>
      <c r="F8" s="15"/>
      <c r="G8" s="15"/>
      <c r="H8" s="15"/>
      <c r="I8" s="15"/>
      <c r="J8" s="1">
        <v>3</v>
      </c>
      <c r="K8" s="1">
        <v>2023</v>
      </c>
      <c r="L8" s="1"/>
      <c r="M8" s="1">
        <f t="shared" si="0"/>
        <v>7</v>
      </c>
      <c r="N8" s="13">
        <f>DATE(2021,5,1)</f>
        <v>44317</v>
      </c>
      <c r="O8" s="13">
        <f>DATE(2022,5,1)</f>
        <v>44682</v>
      </c>
      <c r="P8" s="13">
        <f>DATE(2023,5,1)</f>
        <v>45047</v>
      </c>
      <c r="Q8" s="13">
        <f>DATE(2024,5,1)</f>
        <v>45413</v>
      </c>
      <c r="R8" s="13">
        <v>45778</v>
      </c>
      <c r="S8" s="13">
        <v>46143</v>
      </c>
    </row>
    <row r="9" spans="1:19" ht="13.5" customHeight="1">
      <c r="A9" s="14">
        <f t="shared" si="1"/>
        <v>46026</v>
      </c>
      <c r="B9" s="15"/>
      <c r="C9" s="15"/>
      <c r="D9" s="15"/>
      <c r="E9" s="15"/>
      <c r="F9" s="15"/>
      <c r="G9" s="15"/>
      <c r="H9" s="15"/>
      <c r="I9" s="15"/>
      <c r="J9" s="1">
        <v>4</v>
      </c>
      <c r="K9" s="1">
        <v>2024</v>
      </c>
      <c r="L9" s="1"/>
      <c r="M9" s="1">
        <f t="shared" si="0"/>
        <v>1</v>
      </c>
      <c r="N9" s="13">
        <f>DATE(2021,5,8)</f>
        <v>44324</v>
      </c>
      <c r="O9" s="13">
        <f>DATE(2022,5,8)</f>
        <v>44689</v>
      </c>
      <c r="P9" s="13">
        <f>DATE(2023,5,8)</f>
        <v>45054</v>
      </c>
      <c r="Q9" s="13">
        <f>DATE(2024,5,8)</f>
        <v>45420</v>
      </c>
      <c r="R9" s="13">
        <v>45785</v>
      </c>
      <c r="S9" s="13">
        <v>46150</v>
      </c>
    </row>
    <row r="10" spans="1:19" ht="13.5" customHeight="1">
      <c r="A10" s="14">
        <f t="shared" si="1"/>
        <v>46027</v>
      </c>
      <c r="B10" s="15"/>
      <c r="C10" s="15"/>
      <c r="D10" s="15"/>
      <c r="E10" s="15"/>
      <c r="F10" s="15"/>
      <c r="G10" s="15"/>
      <c r="H10" s="15"/>
      <c r="I10" s="15"/>
      <c r="J10" s="1">
        <v>5</v>
      </c>
      <c r="K10" s="1">
        <v>2025</v>
      </c>
      <c r="L10" s="1"/>
      <c r="M10" s="1">
        <f t="shared" si="0"/>
        <v>2</v>
      </c>
      <c r="N10" s="13">
        <f>DATE(2021,5,13)</f>
        <v>44329</v>
      </c>
      <c r="O10" s="13">
        <f>DATE(2022,5,26)</f>
        <v>44707</v>
      </c>
      <c r="P10" s="13">
        <f>DATE(2023,5,18)</f>
        <v>45064</v>
      </c>
      <c r="Q10" s="13">
        <f>DATE(2024,5,9)</f>
        <v>45421</v>
      </c>
      <c r="R10" s="13">
        <v>45806</v>
      </c>
      <c r="S10" s="13">
        <v>46156</v>
      </c>
    </row>
    <row r="11" spans="1:19" ht="13.5" customHeight="1">
      <c r="A11" s="14">
        <f t="shared" si="1"/>
        <v>46028</v>
      </c>
      <c r="B11" s="15"/>
      <c r="C11" s="15"/>
      <c r="D11" s="15"/>
      <c r="E11" s="15"/>
      <c r="F11" s="15"/>
      <c r="G11" s="15"/>
      <c r="H11" s="15"/>
      <c r="I11" s="15"/>
      <c r="J11" s="1">
        <v>6</v>
      </c>
      <c r="K11" s="1">
        <v>2026</v>
      </c>
      <c r="L11" s="1"/>
      <c r="M11" s="1">
        <f t="shared" si="0"/>
        <v>3</v>
      </c>
      <c r="N11" s="13">
        <f>DATE(2021,5,24)</f>
        <v>44340</v>
      </c>
      <c r="O11" s="13">
        <f>DATE(2022,6,6)</f>
        <v>44718</v>
      </c>
      <c r="P11" s="13">
        <f>DATE(2023,5,29)</f>
        <v>45075</v>
      </c>
      <c r="Q11" s="13">
        <f>DATE(2024,5,20)</f>
        <v>45432</v>
      </c>
      <c r="R11" s="13">
        <v>45817</v>
      </c>
      <c r="S11" s="13">
        <v>46167</v>
      </c>
    </row>
    <row r="12" spans="1:19" ht="13.5" customHeight="1">
      <c r="A12" s="14">
        <f t="shared" si="1"/>
        <v>46029</v>
      </c>
      <c r="B12" s="15"/>
      <c r="C12" s="15"/>
      <c r="D12" s="15"/>
      <c r="E12" s="15"/>
      <c r="F12" s="15"/>
      <c r="G12" s="15"/>
      <c r="H12" s="15"/>
      <c r="I12" s="15"/>
      <c r="J12" s="1">
        <v>7</v>
      </c>
      <c r="K12" s="1"/>
      <c r="L12" s="1"/>
      <c r="M12" s="1">
        <f t="shared" si="0"/>
        <v>4</v>
      </c>
      <c r="N12" s="13">
        <f>DATE(2021,7,14)</f>
        <v>44391</v>
      </c>
      <c r="O12" s="13">
        <f>DATE(2022,7,14)</f>
        <v>44756</v>
      </c>
      <c r="P12" s="13">
        <f>DATE(2023,7,14)</f>
        <v>45121</v>
      </c>
      <c r="Q12" s="13">
        <f>DATE(2024,7,14)</f>
        <v>45487</v>
      </c>
      <c r="R12" s="13">
        <v>45852</v>
      </c>
      <c r="S12" s="13">
        <v>46217</v>
      </c>
    </row>
    <row r="13" spans="1:19" ht="13.5" customHeight="1">
      <c r="A13" s="14">
        <f t="shared" si="1"/>
        <v>46030</v>
      </c>
      <c r="B13" s="15"/>
      <c r="C13" s="15"/>
      <c r="D13" s="15"/>
      <c r="E13" s="15"/>
      <c r="F13" s="15"/>
      <c r="G13" s="15"/>
      <c r="H13" s="15"/>
      <c r="I13" s="15"/>
      <c r="J13" s="1">
        <v>8</v>
      </c>
      <c r="K13" s="1"/>
      <c r="L13" s="1"/>
      <c r="M13" s="1">
        <f t="shared" si="0"/>
        <v>5</v>
      </c>
      <c r="N13" s="13">
        <f>DATE(2021,8,15)</f>
        <v>44423</v>
      </c>
      <c r="O13" s="13">
        <f>DATE(2022,8,15)</f>
        <v>44788</v>
      </c>
      <c r="P13" s="13">
        <f>DATE(2023,8,15)</f>
        <v>45153</v>
      </c>
      <c r="Q13" s="13">
        <f>DATE(2024,8,15)</f>
        <v>45519</v>
      </c>
      <c r="R13" s="13">
        <v>45884</v>
      </c>
      <c r="S13" s="13">
        <v>46249</v>
      </c>
    </row>
    <row r="14" spans="1:19" ht="13.5" customHeight="1">
      <c r="A14" s="14">
        <f t="shared" si="1"/>
        <v>46031</v>
      </c>
      <c r="B14" s="15"/>
      <c r="C14" s="15"/>
      <c r="D14" s="15"/>
      <c r="E14" s="15"/>
      <c r="F14" s="15"/>
      <c r="G14" s="15"/>
      <c r="H14" s="15"/>
      <c r="I14" s="15"/>
      <c r="J14" s="1">
        <v>9</v>
      </c>
      <c r="K14" s="1"/>
      <c r="L14" s="1"/>
      <c r="M14" s="1">
        <f t="shared" si="0"/>
        <v>6</v>
      </c>
      <c r="N14" s="13">
        <f>DATE(2021,11,1)</f>
        <v>44501</v>
      </c>
      <c r="O14" s="13">
        <f>DATE(2022,11,1)</f>
        <v>44866</v>
      </c>
      <c r="P14" s="13">
        <f>DATE(2023,11,1)</f>
        <v>45231</v>
      </c>
      <c r="Q14" s="13">
        <f>DATE(2024,11,1)</f>
        <v>45597</v>
      </c>
      <c r="R14" s="13">
        <v>45962</v>
      </c>
      <c r="S14" s="13">
        <v>46327</v>
      </c>
    </row>
    <row r="15" spans="1:19" ht="13.5" customHeight="1">
      <c r="A15" s="14">
        <f t="shared" si="1"/>
        <v>46032</v>
      </c>
      <c r="B15" s="15"/>
      <c r="C15" s="15"/>
      <c r="D15" s="15"/>
      <c r="E15" s="15"/>
      <c r="F15" s="15"/>
      <c r="G15" s="15"/>
      <c r="H15" s="15"/>
      <c r="I15" s="15"/>
      <c r="J15" s="1">
        <v>10</v>
      </c>
      <c r="K15" s="1"/>
      <c r="L15" s="1"/>
      <c r="M15" s="1">
        <f t="shared" si="0"/>
        <v>7</v>
      </c>
      <c r="N15" s="13">
        <f>DATE(2021,11,11)</f>
        <v>44511</v>
      </c>
      <c r="O15" s="13">
        <f>DATE(2022,11,11)</f>
        <v>44876</v>
      </c>
      <c r="P15" s="13">
        <f>DATE(2023,11,11)</f>
        <v>45241</v>
      </c>
      <c r="Q15" s="13">
        <f>DATE(2024,11,11)</f>
        <v>45607</v>
      </c>
      <c r="R15" s="13">
        <v>45972</v>
      </c>
      <c r="S15" s="13">
        <v>46337</v>
      </c>
    </row>
    <row r="16" spans="1:19" ht="13.5" customHeight="1">
      <c r="A16" s="14">
        <f t="shared" si="1"/>
        <v>46033</v>
      </c>
      <c r="B16" s="15"/>
      <c r="C16" s="15"/>
      <c r="D16" s="15"/>
      <c r="E16" s="15"/>
      <c r="F16" s="15"/>
      <c r="G16" s="15"/>
      <c r="H16" s="15"/>
      <c r="I16" s="15"/>
      <c r="J16" s="1">
        <v>11</v>
      </c>
      <c r="K16" s="1"/>
      <c r="L16" s="1"/>
      <c r="M16" s="1">
        <f t="shared" si="0"/>
        <v>1</v>
      </c>
      <c r="N16" s="13">
        <f>DATE(2021,12,25)</f>
        <v>44555</v>
      </c>
      <c r="O16" s="13">
        <f>DATE(2022,12,25)</f>
        <v>44920</v>
      </c>
      <c r="P16" s="13">
        <f>DATE(2023,12,25)</f>
        <v>45285</v>
      </c>
      <c r="Q16" s="13">
        <f>DATE(2024,12,25)</f>
        <v>45651</v>
      </c>
      <c r="R16" s="13">
        <v>46016</v>
      </c>
      <c r="S16" s="13">
        <v>46381</v>
      </c>
    </row>
    <row r="17" spans="1:19" ht="13.5" customHeight="1">
      <c r="A17" s="14">
        <f t="shared" si="1"/>
        <v>46034</v>
      </c>
      <c r="B17" s="15"/>
      <c r="C17" s="15"/>
      <c r="D17" s="15"/>
      <c r="E17" s="15"/>
      <c r="F17" s="15"/>
      <c r="G17" s="15"/>
      <c r="H17" s="15"/>
      <c r="I17" s="15"/>
      <c r="J17" s="1">
        <v>12</v>
      </c>
      <c r="K17" s="1"/>
      <c r="L17" s="1"/>
      <c r="M17" s="1">
        <f t="shared" si="0"/>
        <v>2</v>
      </c>
      <c r="N17" s="13"/>
      <c r="O17" s="1"/>
      <c r="P17" s="1"/>
      <c r="Q17" s="1"/>
      <c r="R17" s="1"/>
      <c r="S17" s="1"/>
    </row>
    <row r="18" spans="1:19" ht="13.5" customHeight="1">
      <c r="A18" s="14">
        <f t="shared" si="1"/>
        <v>46035</v>
      </c>
      <c r="B18" s="15"/>
      <c r="C18" s="15"/>
      <c r="D18" s="15"/>
      <c r="E18" s="15"/>
      <c r="F18" s="15"/>
      <c r="G18" s="15"/>
      <c r="H18" s="15"/>
      <c r="I18" s="15"/>
      <c r="J18" s="1"/>
      <c r="K18" s="1"/>
      <c r="L18" s="1"/>
      <c r="M18" s="1">
        <f t="shared" si="0"/>
        <v>3</v>
      </c>
      <c r="N18" s="13"/>
      <c r="O18" s="1"/>
      <c r="P18" s="1"/>
      <c r="Q18" s="1"/>
      <c r="R18" s="1"/>
      <c r="S18" s="1"/>
    </row>
    <row r="19" spans="1:19" ht="13.5" customHeight="1">
      <c r="A19" s="14">
        <f t="shared" si="1"/>
        <v>46036</v>
      </c>
      <c r="B19" s="15"/>
      <c r="C19" s="15"/>
      <c r="D19" s="15"/>
      <c r="E19" s="15"/>
      <c r="F19" s="15"/>
      <c r="G19" s="15"/>
      <c r="H19" s="15"/>
      <c r="I19" s="15"/>
      <c r="J19" s="1"/>
      <c r="K19" s="1"/>
      <c r="L19" s="1"/>
      <c r="M19" s="1">
        <f t="shared" si="0"/>
        <v>4</v>
      </c>
      <c r="N19" s="13"/>
      <c r="O19" s="1"/>
      <c r="P19" s="1"/>
      <c r="Q19" s="1"/>
      <c r="R19" s="1"/>
      <c r="S19" s="1"/>
    </row>
    <row r="20" spans="1:19" ht="13.5" customHeight="1">
      <c r="A20" s="14">
        <f t="shared" si="1"/>
        <v>46037</v>
      </c>
      <c r="B20" s="15"/>
      <c r="C20" s="15"/>
      <c r="D20" s="15"/>
      <c r="E20" s="15"/>
      <c r="F20" s="15"/>
      <c r="G20" s="15"/>
      <c r="H20" s="15"/>
      <c r="I20" s="15"/>
      <c r="J20" s="1"/>
      <c r="K20" s="1"/>
      <c r="L20" s="1"/>
      <c r="M20" s="1">
        <f t="shared" si="0"/>
        <v>5</v>
      </c>
      <c r="N20" s="1"/>
      <c r="O20" s="1"/>
      <c r="P20" s="1"/>
      <c r="Q20" s="1"/>
      <c r="R20" s="1"/>
      <c r="S20" s="1"/>
    </row>
    <row r="21" spans="1:19" ht="13.5" customHeight="1">
      <c r="A21" s="14">
        <f t="shared" si="1"/>
        <v>46038</v>
      </c>
      <c r="B21" s="15"/>
      <c r="C21" s="15"/>
      <c r="D21" s="15"/>
      <c r="E21" s="15"/>
      <c r="F21" s="15"/>
      <c r="G21" s="15"/>
      <c r="H21" s="15"/>
      <c r="I21" s="15"/>
      <c r="J21" s="1"/>
      <c r="K21" s="1"/>
      <c r="L21" s="1"/>
      <c r="M21" s="1">
        <f t="shared" si="0"/>
        <v>6</v>
      </c>
      <c r="N21" s="1"/>
      <c r="O21" s="1"/>
      <c r="P21" s="1"/>
      <c r="Q21" s="1"/>
      <c r="R21" s="1"/>
      <c r="S21" s="1"/>
    </row>
    <row r="22" spans="1:19" ht="13.5" customHeight="1">
      <c r="A22" s="14">
        <f t="shared" si="1"/>
        <v>46039</v>
      </c>
      <c r="B22" s="15"/>
      <c r="C22" s="15"/>
      <c r="D22" s="15"/>
      <c r="E22" s="15"/>
      <c r="F22" s="15"/>
      <c r="G22" s="15"/>
      <c r="H22" s="15"/>
      <c r="I22" s="15"/>
      <c r="J22" s="1"/>
      <c r="K22" s="1"/>
      <c r="L22" s="1"/>
      <c r="M22" s="1">
        <f t="shared" si="0"/>
        <v>7</v>
      </c>
      <c r="N22" s="1"/>
      <c r="O22" s="1"/>
      <c r="P22" s="1"/>
      <c r="Q22" s="1"/>
      <c r="R22" s="1"/>
      <c r="S22" s="1"/>
    </row>
    <row r="23" spans="1:19" ht="13.5" customHeight="1">
      <c r="A23" s="14">
        <f t="shared" si="1"/>
        <v>46040</v>
      </c>
      <c r="B23" s="15"/>
      <c r="C23" s="15"/>
      <c r="D23" s="15"/>
      <c r="E23" s="15"/>
      <c r="F23" s="15"/>
      <c r="G23" s="15"/>
      <c r="H23" s="15"/>
      <c r="I23" s="15"/>
      <c r="J23" s="1"/>
      <c r="K23" s="1"/>
      <c r="L23" s="1"/>
      <c r="M23" s="1">
        <f t="shared" si="0"/>
        <v>1</v>
      </c>
      <c r="N23" s="1"/>
      <c r="O23" s="1"/>
      <c r="P23" s="1"/>
      <c r="Q23" s="1"/>
      <c r="R23" s="1"/>
      <c r="S23" s="1"/>
    </row>
    <row r="24" spans="1:19" ht="13.5" customHeight="1">
      <c r="A24" s="14">
        <f t="shared" si="1"/>
        <v>46041</v>
      </c>
      <c r="B24" s="15"/>
      <c r="C24" s="15"/>
      <c r="D24" s="15"/>
      <c r="E24" s="15"/>
      <c r="F24" s="15"/>
      <c r="G24" s="15"/>
      <c r="H24" s="15"/>
      <c r="I24" s="15"/>
      <c r="J24" s="1"/>
      <c r="K24" s="1"/>
      <c r="L24" s="1"/>
      <c r="M24" s="1">
        <f t="shared" si="0"/>
        <v>2</v>
      </c>
      <c r="N24" s="1"/>
      <c r="O24" s="1" t="s">
        <v>21</v>
      </c>
      <c r="P24" s="1"/>
      <c r="Q24" s="1"/>
      <c r="R24" s="1"/>
      <c r="S24" s="1"/>
    </row>
    <row r="25" spans="1:19" ht="13.5" customHeight="1">
      <c r="A25" s="14">
        <f t="shared" si="1"/>
        <v>46042</v>
      </c>
      <c r="B25" s="15"/>
      <c r="C25" s="15"/>
      <c r="D25" s="15"/>
      <c r="E25" s="15"/>
      <c r="F25" s="15"/>
      <c r="G25" s="15"/>
      <c r="H25" s="15"/>
      <c r="I25" s="15"/>
      <c r="J25" s="1"/>
      <c r="K25" s="1"/>
      <c r="L25" s="1"/>
      <c r="M25" s="1">
        <f t="shared" si="0"/>
        <v>3</v>
      </c>
      <c r="N25" s="1"/>
      <c r="O25" s="1"/>
      <c r="P25" s="1"/>
      <c r="Q25" s="1"/>
      <c r="R25" s="1"/>
      <c r="S25" s="1"/>
    </row>
    <row r="26" spans="1:19" ht="13.5" customHeight="1">
      <c r="A26" s="14">
        <f t="shared" si="1"/>
        <v>46043</v>
      </c>
      <c r="B26" s="15"/>
      <c r="C26" s="15"/>
      <c r="D26" s="15"/>
      <c r="E26" s="15"/>
      <c r="F26" s="15"/>
      <c r="G26" s="15"/>
      <c r="H26" s="15"/>
      <c r="I26" s="15"/>
      <c r="J26" s="1"/>
      <c r="K26" s="1"/>
      <c r="L26" s="1"/>
      <c r="M26" s="1">
        <f t="shared" si="0"/>
        <v>4</v>
      </c>
      <c r="N26" s="1"/>
      <c r="O26" s="1"/>
      <c r="P26" s="1"/>
      <c r="Q26" s="1"/>
      <c r="R26" s="1"/>
      <c r="S26" s="1"/>
    </row>
    <row r="27" spans="1:19" ht="13.5" customHeight="1">
      <c r="A27" s="14">
        <f t="shared" si="1"/>
        <v>46044</v>
      </c>
      <c r="B27" s="15"/>
      <c r="C27" s="15"/>
      <c r="D27" s="15"/>
      <c r="E27" s="15"/>
      <c r="F27" s="15"/>
      <c r="G27" s="15"/>
      <c r="H27" s="15"/>
      <c r="I27" s="15"/>
      <c r="J27" s="1"/>
      <c r="K27" s="1"/>
      <c r="L27" s="1"/>
      <c r="M27" s="1">
        <f t="shared" si="0"/>
        <v>5</v>
      </c>
      <c r="N27" s="1"/>
      <c r="O27" s="1"/>
      <c r="P27" s="1"/>
      <c r="Q27" s="1"/>
      <c r="R27" s="1"/>
      <c r="S27" s="1"/>
    </row>
    <row r="28" spans="1:19" ht="13.5" customHeight="1">
      <c r="A28" s="14">
        <f t="shared" si="1"/>
        <v>46045</v>
      </c>
      <c r="B28" s="15"/>
      <c r="C28" s="15"/>
      <c r="D28" s="15"/>
      <c r="E28" s="15"/>
      <c r="F28" s="15"/>
      <c r="G28" s="15"/>
      <c r="H28" s="15"/>
      <c r="I28" s="15"/>
      <c r="J28" s="1"/>
      <c r="K28" s="1"/>
      <c r="L28" s="1"/>
      <c r="M28" s="1">
        <f t="shared" si="0"/>
        <v>6</v>
      </c>
      <c r="N28" s="1"/>
      <c r="O28" s="1"/>
      <c r="P28" s="1"/>
      <c r="Q28" s="1"/>
      <c r="R28" s="1"/>
      <c r="S28" s="1"/>
    </row>
    <row r="29" spans="1:19" ht="13.5" customHeight="1">
      <c r="A29" s="14">
        <f t="shared" si="1"/>
        <v>46046</v>
      </c>
      <c r="B29" s="15"/>
      <c r="C29" s="15"/>
      <c r="D29" s="15"/>
      <c r="E29" s="15"/>
      <c r="F29" s="15"/>
      <c r="G29" s="15"/>
      <c r="H29" s="15"/>
      <c r="I29" s="15"/>
      <c r="J29" s="1"/>
      <c r="K29" s="1"/>
      <c r="L29" s="1"/>
      <c r="M29" s="1">
        <f t="shared" si="0"/>
        <v>7</v>
      </c>
      <c r="N29" s="1"/>
      <c r="O29" s="1"/>
      <c r="P29" s="1"/>
      <c r="Q29" s="1"/>
      <c r="R29" s="1"/>
      <c r="S29" s="1"/>
    </row>
    <row r="30" spans="1:19" ht="13.5" customHeight="1">
      <c r="A30" s="14">
        <f t="shared" si="1"/>
        <v>46047</v>
      </c>
      <c r="B30" s="15"/>
      <c r="C30" s="15"/>
      <c r="D30" s="15"/>
      <c r="E30" s="15"/>
      <c r="F30" s="15"/>
      <c r="G30" s="15"/>
      <c r="H30" s="15"/>
      <c r="I30" s="15"/>
      <c r="J30" s="1"/>
      <c r="K30" s="1"/>
      <c r="L30" s="1"/>
      <c r="M30" s="1">
        <f t="shared" si="0"/>
        <v>1</v>
      </c>
      <c r="N30" s="1"/>
      <c r="O30" s="1"/>
      <c r="P30" s="1"/>
      <c r="Q30" s="1"/>
      <c r="R30" s="1"/>
      <c r="S30" s="1"/>
    </row>
    <row r="31" spans="1:19" ht="13.5" customHeight="1">
      <c r="A31" s="14">
        <f t="shared" si="1"/>
        <v>46048</v>
      </c>
      <c r="B31" s="15"/>
      <c r="C31" s="15"/>
      <c r="D31" s="15"/>
      <c r="E31" s="15"/>
      <c r="F31" s="15"/>
      <c r="G31" s="15"/>
      <c r="H31" s="15"/>
      <c r="I31" s="15"/>
      <c r="J31" s="1"/>
      <c r="K31" s="1"/>
      <c r="L31" s="1"/>
      <c r="M31" s="1">
        <f t="shared" si="0"/>
        <v>2</v>
      </c>
      <c r="N31" s="1"/>
      <c r="O31" s="1"/>
      <c r="P31" s="1"/>
      <c r="Q31" s="1"/>
      <c r="R31" s="1"/>
      <c r="S31" s="1"/>
    </row>
    <row r="32" spans="1:19" ht="13.5" customHeight="1">
      <c r="A32" s="14">
        <f t="shared" si="1"/>
        <v>46049</v>
      </c>
      <c r="B32" s="15"/>
      <c r="C32" s="15"/>
      <c r="D32" s="15"/>
      <c r="E32" s="15"/>
      <c r="F32" s="15"/>
      <c r="G32" s="15"/>
      <c r="H32" s="15"/>
      <c r="I32" s="15"/>
      <c r="J32" s="1"/>
      <c r="K32" s="1"/>
      <c r="L32" s="1"/>
      <c r="M32" s="1">
        <f t="shared" si="0"/>
        <v>3</v>
      </c>
      <c r="N32" s="1"/>
      <c r="O32" s="1"/>
      <c r="P32" s="1"/>
      <c r="Q32" s="1"/>
      <c r="R32" s="1"/>
      <c r="S32" s="1"/>
    </row>
    <row r="33" spans="1:19" ht="13.5" customHeight="1">
      <c r="A33" s="14">
        <f>IF(A32+1&lt;=L6,A32+1,"")</f>
        <v>46050</v>
      </c>
      <c r="B33" s="15"/>
      <c r="C33" s="15"/>
      <c r="D33" s="15"/>
      <c r="E33" s="15"/>
      <c r="F33" s="15"/>
      <c r="G33" s="15"/>
      <c r="H33" s="15"/>
      <c r="I33" s="15"/>
      <c r="J33" s="1"/>
      <c r="K33" s="1"/>
      <c r="L33" s="1"/>
      <c r="M33" s="1">
        <f>IF(A32+1&lt;=L6,WEEKDAY(A33),0)</f>
        <v>4</v>
      </c>
      <c r="N33" s="1"/>
      <c r="O33" s="1"/>
      <c r="P33" s="1"/>
      <c r="Q33" s="1"/>
      <c r="R33" s="1"/>
      <c r="S33" s="1"/>
    </row>
    <row r="34" spans="1:19" ht="13.5" customHeight="1">
      <c r="A34" s="14">
        <f>IF(A32+2&lt;=L6,A32+2,"")</f>
        <v>46051</v>
      </c>
      <c r="B34" s="15"/>
      <c r="C34" s="15"/>
      <c r="D34" s="15"/>
      <c r="E34" s="15"/>
      <c r="F34" s="15"/>
      <c r="G34" s="15"/>
      <c r="H34" s="15"/>
      <c r="I34" s="15"/>
      <c r="J34" s="1"/>
      <c r="K34" s="1"/>
      <c r="L34" s="1"/>
      <c r="M34" s="1">
        <f>IF(A32+2&lt;=L6,WEEKDAY(A34),0)</f>
        <v>5</v>
      </c>
      <c r="N34" s="1"/>
      <c r="O34" s="1"/>
      <c r="P34" s="1"/>
      <c r="Q34" s="1"/>
      <c r="R34" s="1"/>
      <c r="S34" s="1"/>
    </row>
    <row r="35" spans="1:19" ht="13.5" customHeight="1">
      <c r="A35" s="14">
        <f>IF(A32+3&lt;=L6,A32+3,"")</f>
        <v>46052</v>
      </c>
      <c r="B35" s="15"/>
      <c r="C35" s="15"/>
      <c r="D35" s="15"/>
      <c r="E35" s="15"/>
      <c r="F35" s="15"/>
      <c r="G35" s="15"/>
      <c r="H35" s="15"/>
      <c r="I35" s="15"/>
      <c r="J35" s="1"/>
      <c r="K35" s="1"/>
      <c r="L35" s="1"/>
      <c r="M35" s="1">
        <f>IF(A32+3&lt;=L6,WEEKDAY(A35),0)</f>
        <v>6</v>
      </c>
      <c r="N35" s="1"/>
      <c r="O35" s="1"/>
      <c r="P35" s="1"/>
      <c r="Q35" s="1"/>
      <c r="R35" s="1"/>
      <c r="S35" s="1"/>
    </row>
    <row r="36" spans="1:19" ht="13.5" customHeight="1">
      <c r="A36" s="16">
        <f>IF(A32+4&lt;=L6,A32+4,"")</f>
        <v>46053</v>
      </c>
      <c r="B36" s="15"/>
      <c r="C36" s="15"/>
      <c r="D36" s="15"/>
      <c r="E36" s="15"/>
      <c r="F36" s="15"/>
      <c r="G36" s="15"/>
      <c r="H36" s="15"/>
      <c r="I36" s="17"/>
      <c r="J36" s="5"/>
      <c r="K36" s="1"/>
      <c r="L36" s="1"/>
      <c r="M36" s="1">
        <f>IF(A32+4&lt;=L6,WEEKDAY(A36),0)</f>
        <v>7</v>
      </c>
      <c r="N36" s="1"/>
      <c r="O36" s="1"/>
      <c r="P36" s="1"/>
      <c r="Q36" s="1"/>
      <c r="R36" s="1"/>
      <c r="S36" s="1"/>
    </row>
    <row r="37" spans="1:19" ht="15.75" customHeight="1">
      <c r="A37" s="18" t="s">
        <v>22</v>
      </c>
      <c r="B37" s="19">
        <f t="shared" ref="B37:F37" si="2">SUM(B6:B36)</f>
        <v>0</v>
      </c>
      <c r="C37" s="20">
        <f t="shared" si="2"/>
        <v>0</v>
      </c>
      <c r="D37" s="21">
        <f t="shared" si="2"/>
        <v>0</v>
      </c>
      <c r="E37" s="21">
        <f t="shared" si="2"/>
        <v>0</v>
      </c>
      <c r="F37" s="22">
        <f t="shared" si="2"/>
        <v>0</v>
      </c>
      <c r="G37" s="38">
        <f>SUM(G6:H36)</f>
        <v>0</v>
      </c>
      <c r="H37" s="39"/>
      <c r="I37" s="5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3.5" customHeight="1">
      <c r="A38" s="23"/>
      <c r="B38" s="1"/>
      <c r="C38" s="1"/>
      <c r="D38" s="1"/>
      <c r="E38" s="1"/>
      <c r="F38" s="1"/>
      <c r="G38" s="24">
        <f t="shared" ref="G38:H38" si="3">SUM(G6:G36)</f>
        <v>0</v>
      </c>
      <c r="H38" s="25">
        <f t="shared" si="3"/>
        <v>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3.5" customHeight="1">
      <c r="A39" s="29" t="s">
        <v>23</v>
      </c>
      <c r="B39" s="30"/>
      <c r="C39" s="31"/>
      <c r="D39" s="1"/>
      <c r="E39" s="1"/>
      <c r="F39" s="1"/>
      <c r="G39" s="26" t="s">
        <v>24</v>
      </c>
      <c r="H39" s="27" t="s">
        <v>25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3.5" customHeight="1">
      <c r="A40" s="32"/>
      <c r="B40" s="33"/>
      <c r="C40" s="3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3.5" customHeight="1">
      <c r="A41" s="32"/>
      <c r="B41" s="33"/>
      <c r="C41" s="3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3.5" customHeight="1">
      <c r="A42" s="32"/>
      <c r="B42" s="33"/>
      <c r="C42" s="3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3.5" customHeight="1">
      <c r="A43" s="35"/>
      <c r="B43" s="36"/>
      <c r="C43" s="37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3.5" customHeight="1">
      <c r="A44" s="28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3.5" customHeight="1">
      <c r="A45" s="28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3.5" customHeight="1">
      <c r="A46" s="28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3.5" customHeight="1">
      <c r="A47" s="28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3.5" customHeight="1">
      <c r="A48" s="28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3.5" customHeight="1">
      <c r="A49" s="28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3.5" customHeight="1">
      <c r="A50" s="28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3.5" customHeight="1">
      <c r="A51" s="28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3.5" customHeight="1">
      <c r="A52" s="28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3.5" customHeight="1">
      <c r="A53" s="28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3.5" customHeight="1">
      <c r="A54" s="28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3.5" customHeight="1">
      <c r="A55" s="28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3.5" customHeight="1">
      <c r="A56" s="28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3.5" customHeight="1">
      <c r="A57" s="28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3.5" customHeight="1">
      <c r="A58" s="28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3.5" customHeight="1">
      <c r="A59" s="28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3.5" customHeight="1">
      <c r="A60" s="28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3.5" customHeight="1">
      <c r="A61" s="28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3.5" customHeight="1">
      <c r="A62" s="28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3.5" customHeight="1">
      <c r="A63" s="28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3.5" customHeight="1">
      <c r="A64" s="28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3.5" customHeight="1">
      <c r="A65" s="28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3.5" customHeight="1">
      <c r="A66" s="28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3.5" customHeight="1">
      <c r="A67" s="28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3.5" customHeight="1">
      <c r="A68" s="28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3.5" customHeight="1">
      <c r="A69" s="28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13.5" customHeight="1">
      <c r="A70" s="28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3.5" customHeight="1">
      <c r="A71" s="28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3.5" customHeight="1">
      <c r="A72" s="28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3.5" customHeight="1">
      <c r="A73" s="28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3.5" customHeight="1">
      <c r="A74" s="28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3.5" customHeight="1">
      <c r="A75" s="28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3.5" customHeight="1">
      <c r="A76" s="28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3.5" customHeight="1">
      <c r="A77" s="28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3.5" customHeight="1">
      <c r="A78" s="28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3.5" customHeight="1">
      <c r="A79" s="28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3.5" customHeight="1">
      <c r="A80" s="28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3.5" customHeight="1">
      <c r="A81" s="28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3.5" customHeight="1">
      <c r="A82" s="28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3.5" customHeight="1">
      <c r="A83" s="28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3.5" customHeight="1">
      <c r="A84" s="28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3.5" customHeight="1">
      <c r="A85" s="28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3.5" customHeight="1">
      <c r="A86" s="28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3.5" customHeight="1">
      <c r="A87" s="28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3.5" customHeight="1">
      <c r="A88" s="28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3.5" customHeight="1">
      <c r="A89" s="28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3.5" customHeight="1">
      <c r="A90" s="28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3.5" customHeight="1">
      <c r="A91" s="28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3.5" customHeight="1">
      <c r="A92" s="28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3.5" customHeight="1">
      <c r="A93" s="28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3.5" customHeight="1">
      <c r="A94" s="28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3.5" customHeight="1">
      <c r="A95" s="28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3.5" customHeight="1">
      <c r="A96" s="28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3.5" customHeight="1">
      <c r="A97" s="28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3.5" customHeight="1">
      <c r="A98" s="28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3.5" customHeight="1">
      <c r="A99" s="28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3.5" customHeight="1">
      <c r="A100" s="28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</sheetData>
  <mergeCells count="12">
    <mergeCell ref="A39:C43"/>
    <mergeCell ref="G37:H37"/>
    <mergeCell ref="A3:I3"/>
    <mergeCell ref="A1:B1"/>
    <mergeCell ref="C1:E1"/>
    <mergeCell ref="H1:I1"/>
    <mergeCell ref="F1:G1"/>
    <mergeCell ref="A4:A5"/>
    <mergeCell ref="B4:B5"/>
    <mergeCell ref="C4:F4"/>
    <mergeCell ref="G4:H4"/>
    <mergeCell ref="I4:I5"/>
  </mergeCells>
  <conditionalFormatting sqref="A6:A36">
    <cfRule type="cellIs" dxfId="72" priority="1" operator="equal">
      <formula>$R$6</formula>
    </cfRule>
    <cfRule type="cellIs" dxfId="71" priority="2" operator="equal">
      <formula>$R$7</formula>
    </cfRule>
    <cfRule type="cellIs" dxfId="70" priority="3" operator="equal">
      <formula>$R$8</formula>
    </cfRule>
    <cfRule type="cellIs" dxfId="69" priority="4" operator="equal">
      <formula>$R$9</formula>
    </cfRule>
    <cfRule type="cellIs" dxfId="68" priority="5" operator="equal">
      <formula>$R$10</formula>
    </cfRule>
    <cfRule type="cellIs" dxfId="67" priority="6" operator="equal">
      <formula>$R$11</formula>
    </cfRule>
    <cfRule type="cellIs" dxfId="66" priority="7" operator="equal">
      <formula>$R$12</formula>
    </cfRule>
    <cfRule type="cellIs" dxfId="65" priority="8" operator="equal">
      <formula>$R$13</formula>
    </cfRule>
    <cfRule type="cellIs" dxfId="64" priority="9" operator="equal">
      <formula>$R$14</formula>
    </cfRule>
    <cfRule type="cellIs" dxfId="63" priority="10" operator="equal">
      <formula>$R$15</formula>
    </cfRule>
    <cfRule type="cellIs" dxfId="62" priority="11" operator="equal">
      <formula>$R$16</formula>
    </cfRule>
    <cfRule type="cellIs" dxfId="61" priority="12" operator="equal">
      <formula>$Q$16</formula>
    </cfRule>
    <cfRule type="cellIs" dxfId="60" priority="13" operator="equal">
      <formula>$Q$15</formula>
    </cfRule>
    <cfRule type="cellIs" dxfId="59" priority="14" operator="equal">
      <formula>$Q$14</formula>
    </cfRule>
    <cfRule type="cellIs" dxfId="58" priority="15" operator="equal">
      <formula>$Q$13</formula>
    </cfRule>
    <cfRule type="cellIs" dxfId="57" priority="16" operator="equal">
      <formula>$Q$12</formula>
    </cfRule>
    <cfRule type="cellIs" dxfId="56" priority="17" operator="equal">
      <formula>$Q$11</formula>
    </cfRule>
    <cfRule type="cellIs" dxfId="55" priority="18" operator="equal">
      <formula>$Q$10</formula>
    </cfRule>
    <cfRule type="cellIs" dxfId="54" priority="19" operator="equal">
      <formula>$Q$9</formula>
    </cfRule>
    <cfRule type="cellIs" dxfId="53" priority="20" operator="equal">
      <formula>$Q$8</formula>
    </cfRule>
    <cfRule type="cellIs" dxfId="52" priority="21" operator="equal">
      <formula>$Q$7</formula>
    </cfRule>
    <cfRule type="cellIs" dxfId="51" priority="22" operator="equal">
      <formula>$Q$6</formula>
    </cfRule>
    <cfRule type="cellIs" dxfId="50" priority="23" operator="equal">
      <formula>$P$16</formula>
    </cfRule>
    <cfRule type="cellIs" dxfId="49" priority="24" operator="equal">
      <formula>$P$15</formula>
    </cfRule>
    <cfRule type="cellIs" dxfId="48" priority="25" operator="equal">
      <formula>$P$14</formula>
    </cfRule>
    <cfRule type="cellIs" dxfId="47" priority="26" operator="equal">
      <formula>$P$13</formula>
    </cfRule>
    <cfRule type="cellIs" dxfId="46" priority="27" operator="equal">
      <formula>$P$12</formula>
    </cfRule>
    <cfRule type="cellIs" dxfId="45" priority="28" operator="equal">
      <formula>$P$11</formula>
    </cfRule>
    <cfRule type="cellIs" dxfId="44" priority="29" operator="equal">
      <formula>$P$10</formula>
    </cfRule>
    <cfRule type="cellIs" dxfId="43" priority="30" operator="equal">
      <formula>$P$9</formula>
    </cfRule>
    <cfRule type="cellIs" dxfId="42" priority="31" operator="equal">
      <formula>$P$8</formula>
    </cfRule>
    <cfRule type="cellIs" dxfId="41" priority="32" operator="equal">
      <formula>$P$7</formula>
    </cfRule>
    <cfRule type="cellIs" dxfId="40" priority="33" operator="equal">
      <formula>$P$6</formula>
    </cfRule>
    <cfRule type="cellIs" dxfId="39" priority="34" operator="equal">
      <formula>$O$16</formula>
    </cfRule>
    <cfRule type="cellIs" dxfId="38" priority="35" operator="equal">
      <formula>$O$15</formula>
    </cfRule>
    <cfRule type="cellIs" dxfId="37" priority="36" operator="equal">
      <formula>$O$14</formula>
    </cfRule>
    <cfRule type="cellIs" dxfId="36" priority="37" operator="equal">
      <formula>$O$13</formula>
    </cfRule>
    <cfRule type="cellIs" dxfId="35" priority="38" operator="equal">
      <formula>$O$12</formula>
    </cfRule>
    <cfRule type="cellIs" dxfId="34" priority="39" operator="equal">
      <formula>$O$11</formula>
    </cfRule>
    <cfRule type="cellIs" dxfId="33" priority="40" operator="equal">
      <formula>$O$10</formula>
    </cfRule>
    <cfRule type="cellIs" dxfId="32" priority="41" operator="equal">
      <formula>$O$9</formula>
    </cfRule>
    <cfRule type="cellIs" dxfId="31" priority="42" operator="equal">
      <formula>$O$8</formula>
    </cfRule>
    <cfRule type="cellIs" dxfId="30" priority="43" operator="equal">
      <formula>$O$7</formula>
    </cfRule>
    <cfRule type="cellIs" dxfId="29" priority="44" operator="equal">
      <formula>$O$6</formula>
    </cfRule>
    <cfRule type="cellIs" dxfId="28" priority="45" operator="equal">
      <formula>$N$16</formula>
    </cfRule>
    <cfRule type="cellIs" dxfId="27" priority="46" operator="equal">
      <formula>$N$15</formula>
    </cfRule>
    <cfRule type="cellIs" dxfId="26" priority="47" operator="equal">
      <formula>$N$14</formula>
    </cfRule>
    <cfRule type="cellIs" dxfId="25" priority="48" operator="equal">
      <formula>$N$13</formula>
    </cfRule>
    <cfRule type="cellIs" dxfId="24" priority="49" operator="equal">
      <formula>$N$12</formula>
    </cfRule>
    <cfRule type="cellIs" dxfId="23" priority="50" operator="equal">
      <formula>$N$11</formula>
    </cfRule>
    <cfRule type="cellIs" dxfId="22" priority="51" operator="equal">
      <formula>$N$10</formula>
    </cfRule>
    <cfRule type="cellIs" dxfId="21" priority="52" operator="equal">
      <formula>$N$9</formula>
    </cfRule>
    <cfRule type="cellIs" dxfId="20" priority="53" operator="equal">
      <formula>$N$8</formula>
    </cfRule>
    <cfRule type="cellIs" dxfId="19" priority="54" operator="equal">
      <formula>$N$7</formula>
    </cfRule>
    <cfRule type="cellIs" dxfId="18" priority="55" operator="equal">
      <formula>$N$6</formula>
    </cfRule>
    <cfRule type="expression" dxfId="17" priority="56">
      <formula>IF(INDEX(M6:M36,1)=7,TRUE,FALSE)</formula>
    </cfRule>
    <cfRule type="expression" dxfId="16" priority="57">
      <formula>IF(INDEX(M6:M36,1)=1,TRUE,FALSE)</formula>
    </cfRule>
  </conditionalFormatting>
  <conditionalFormatting sqref="B6:B36">
    <cfRule type="expression" dxfId="15" priority="58">
      <formula>IF(INDEX(M6:M36,1)=1,TRUE,FALSE)</formula>
    </cfRule>
    <cfRule type="expression" dxfId="14" priority="59">
      <formula>IF(INDEX(M6:M36,1)=7,TRUE,FALSE)</formula>
    </cfRule>
  </conditionalFormatting>
  <conditionalFormatting sqref="C6:C36">
    <cfRule type="expression" dxfId="13" priority="60">
      <formula>IF(INDEX(M6:M36,1)=7,TRUE,FALSE)</formula>
    </cfRule>
    <cfRule type="expression" dxfId="12" priority="61">
      <formula>IF(INDEX(M6:M36,1)=1,TRUE,FALSE)</formula>
    </cfRule>
  </conditionalFormatting>
  <conditionalFormatting sqref="D6:D36">
    <cfRule type="expression" dxfId="11" priority="62">
      <formula>IF(INDEX(M6:M36,1)=7,TRUE,FALSE)</formula>
    </cfRule>
    <cfRule type="expression" dxfId="10" priority="63">
      <formula>IF(INDEX(M6:M36,1)=1,TRUE,FALSE)</formula>
    </cfRule>
  </conditionalFormatting>
  <conditionalFormatting sqref="E6:E36">
    <cfRule type="expression" dxfId="9" priority="64">
      <formula>IF(INDEX(M6:M36,1)=7,TRUE,FALSE)</formula>
    </cfRule>
    <cfRule type="expression" dxfId="8" priority="65">
      <formula>IF(INDEX(M6:M36,1)=1,TRUE,FALSE)</formula>
    </cfRule>
  </conditionalFormatting>
  <conditionalFormatting sqref="F6:F36">
    <cfRule type="expression" dxfId="7" priority="66">
      <formula>IF(INDEX(M6:M36,1)=7,TRUE,FALSE)</formula>
    </cfRule>
    <cfRule type="expression" dxfId="6" priority="67">
      <formula>IF(INDEX(M6:M36,1)=1,TRUE,FALSE)</formula>
    </cfRule>
  </conditionalFormatting>
  <conditionalFormatting sqref="G6:G36">
    <cfRule type="expression" dxfId="5" priority="68">
      <formula>IF(INDEX(M6:M36,1)=7,TRUE,FALSE)</formula>
    </cfRule>
    <cfRule type="expression" dxfId="4" priority="69">
      <formula>IF(INDEX(M6:M36,1)=1,TRUE,FALSE)</formula>
    </cfRule>
  </conditionalFormatting>
  <conditionalFormatting sqref="H6:H36">
    <cfRule type="expression" dxfId="3" priority="70">
      <formula>IF(INDEX(M6:M36,1)=1,TRUE,FALSE)</formula>
    </cfRule>
    <cfRule type="expression" dxfId="2" priority="71">
      <formula>IF(INDEX(M6:M36,1)=7,TRUE,FALSE)</formula>
    </cfRule>
  </conditionalFormatting>
  <conditionalFormatting sqref="I6:I36">
    <cfRule type="expression" dxfId="1" priority="72">
      <formula>IF(INDEX(M6:M36,1)=7,TRUE,FALSE)</formula>
    </cfRule>
    <cfRule type="expression" dxfId="0" priority="73">
      <formula>IF(INDEX(M6:M36,1)=1,TRUE,FALSE)</formula>
    </cfRule>
  </conditionalFormatting>
  <dataValidations count="2">
    <dataValidation type="list" allowBlank="1" showErrorMessage="1" sqref="B2" xr:uid="{00000000-0002-0000-0000-000000000000}">
      <formula1>$J$6:$J$17</formula1>
    </dataValidation>
    <dataValidation type="list" allowBlank="1" showErrorMessage="1" sqref="D2" xr:uid="{00000000-0002-0000-0000-000001000000}">
      <formula1>$K$6:$K$12</formula1>
    </dataValidation>
  </dataValidations>
  <printOptions horizontalCentered="1" verticalCentered="1"/>
  <pageMargins left="0.23622047244094491" right="0.23622047244094491" top="0.74803149606299213" bottom="0.74803149606299213" header="0" footer="0"/>
  <pageSetup paperSize="9" fitToWidth="0" orientation="portrait"/>
  <headerFooter>
    <oddHeader>&amp;C Fiche d'activité mensuelle - A renvoyer avant la fin du mois</oddHead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Technicien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izencia</dc:creator>
  <cp:lastModifiedBy/>
  <cp:lastPrinted>2024-05-23T08:25:57Z</cp:lastPrinted>
  <dcterms:created xsi:type="dcterms:W3CDTF">2020-12-09T18:27:28Z</dcterms:created>
  <dcterms:modified xsi:type="dcterms:W3CDTF">2026-10-14T14:47:29Z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0x01010088F63894C60E034D8C810B5E326CE4EB</vt:lpwstr>
  </property>
</Properties>
</file>